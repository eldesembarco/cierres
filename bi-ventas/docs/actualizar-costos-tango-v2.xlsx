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IZAR EN TANGO" sheetId="1" state="visible" r:id="rId1"/>
    <sheet name="SIN CODIGO EN MAESTRO" sheetId="2" state="visible" r:id="rId2"/>
    <sheet name="ANOMALIAS PLANIL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+0.0%;-0.0%;&quot;-&quot;"/>
  </numFmts>
  <fonts count="6">
    <font>
      <name val="Calibri"/>
      <family val="2"/>
      <color theme="1"/>
      <sz val="11"/>
      <scheme val="minor"/>
    </font>
    <font>
      <name val="Arial"/>
      <color rgb="000000FF"/>
    </font>
    <font>
      <name val="Arial"/>
      <color rgb="00000000"/>
    </font>
    <font>
      <name val="Arial"/>
      <b val="1"/>
    </font>
    <font>
      <name val="Arial"/>
      <b val="1"/>
      <color rgb="00FFFFFF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3" borderId="0" applyAlignment="1" pivotButton="0" quotePrefix="0" xfId="0">
      <alignment vertical="center" wrapText="1"/>
    </xf>
    <xf numFmtId="0" fontId="1" fillId="0" borderId="1" pivotButton="0" quotePrefix="0" xfId="0"/>
    <xf numFmtId="0" fontId="2" fillId="0" borderId="1" pivotButton="0" quotePrefix="0" xfId="0"/>
    <xf numFmtId="164" fontId="1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4" fontId="1" fillId="2" borderId="1" pivotButton="0" quotePrefix="0" xfId="0"/>
    <xf numFmtId="0" fontId="2" fillId="2" borderId="1" pivotButton="0" quotePrefix="0" xfId="0"/>
    <xf numFmtId="0" fontId="5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0" customWidth="1" min="5" max="5"/>
    <col width="18" customWidth="1" min="6" max="6"/>
    <col width="18" customWidth="1" min="7" max="7"/>
    <col width="10" customWidth="1" min="8" max="8"/>
    <col width="20" customWidth="1" min="9" max="9"/>
    <col width="52" customWidth="1" min="10" max="10"/>
  </cols>
  <sheetData>
    <row r="1">
      <c r="A1" s="1" t="inlineStr">
        <is>
          <t>Código Tango</t>
        </is>
      </c>
      <c r="B1" s="1" t="inlineStr">
        <is>
          <t>Producto (lista CDP)</t>
        </is>
      </c>
      <c r="C1" s="1" t="inlineStr">
        <is>
          <t>Unidad Tango</t>
        </is>
      </c>
      <c r="D1" s="1" t="inlineStr">
        <is>
          <t>Reposición HOY en Tango</t>
        </is>
      </c>
      <c r="E1" s="1" t="inlineStr">
        <is>
          <t>Lista 01-07 ($ x bulto)</t>
        </is>
      </c>
      <c r="F1" s="1" t="inlineStr">
        <is>
          <t>Contenido del bulto (en unidad Tango)</t>
        </is>
      </c>
      <c r="G1" s="1" t="inlineStr">
        <is>
          <t>NUEVO valor x unidad</t>
        </is>
      </c>
      <c r="H1" s="1" t="inlineStr">
        <is>
          <t>Dif.</t>
        </is>
      </c>
      <c r="I1" s="1" t="inlineStr">
        <is>
          <t>Estado</t>
        </is>
      </c>
      <c r="J1" s="1" t="inlineStr">
        <is>
          <t>Nota</t>
        </is>
      </c>
    </row>
    <row r="2">
      <c r="A2" s="2" t="inlineStr">
        <is>
          <t>010022</t>
        </is>
      </c>
      <c r="B2" s="3" t="inlineStr">
        <is>
          <t>KETCHUP HELLMANS CAJA 9KG</t>
        </is>
      </c>
      <c r="C2" s="3" t="inlineStr">
        <is>
          <t>KG</t>
        </is>
      </c>
      <c r="D2" s="4" t="n">
        <v>3760</v>
      </c>
      <c r="E2" s="4" t="n">
        <v>33840</v>
      </c>
      <c r="F2" s="2" t="n">
        <v>9</v>
      </c>
      <c r="G2" s="5">
        <f>E2/F2</f>
        <v/>
      </c>
      <c r="H2" s="6">
        <f>IF(D2=0,"",IF(D2="","",(G2-D2)/D2))</f>
        <v/>
      </c>
      <c r="I2" s="3">
        <f>IF(D2="","VERIFICAR EN PANEL",IF(ABS(G2-D2)/D2&gt;0.01,"ACTUALIZAR","OK"))</f>
        <v/>
      </c>
      <c r="J2" s="3" t="inlineStr">
        <is>
          <t>✔ Actualizado 09/07</t>
        </is>
      </c>
    </row>
    <row r="3">
      <c r="A3" s="2" t="inlineStr">
        <is>
          <t>010021</t>
        </is>
      </c>
      <c r="B3" s="3" t="inlineStr">
        <is>
          <t>MAYONESA HELLMANS 3x2,9KG</t>
        </is>
      </c>
      <c r="C3" s="3" t="inlineStr">
        <is>
          <t>KG</t>
        </is>
      </c>
      <c r="D3" s="4" t="n">
        <v>3760</v>
      </c>
      <c r="E3" s="4" t="n">
        <v>33345.74</v>
      </c>
      <c r="F3" s="2" t="n">
        <v>8.699999999999999</v>
      </c>
      <c r="G3" s="5">
        <f>E3/F3</f>
        <v/>
      </c>
      <c r="H3" s="6">
        <f>IF(D3=0,"",IF(D3="","",(G3-D3)/D3))</f>
        <v/>
      </c>
      <c r="I3" s="3">
        <f>IF(D3="","VERIFICAR EN PANEL",IF(ABS(G3-D3)/D3&gt;0.01,"ACTUALIZAR","OK"))</f>
        <v/>
      </c>
      <c r="J3" s="3" t="inlineStr">
        <is>
          <t>⚠ Se cargó el valor del KETCHUP; el de mayonesa es $3.832,84</t>
        </is>
      </c>
    </row>
    <row r="4">
      <c r="A4" s="2" t="inlineStr">
        <is>
          <t>010007</t>
        </is>
      </c>
      <c r="B4" s="3" t="inlineStr">
        <is>
          <t>MAYONESA HELLMANNS SACHET (CJ 196x8g)</t>
        </is>
      </c>
      <c r="C4" s="3" t="inlineStr">
        <is>
          <t>UN (sobre)</t>
        </is>
      </c>
      <c r="D4" s="4" t="n">
        <v>69.52</v>
      </c>
      <c r="E4" s="4" t="n">
        <v>13625.64</v>
      </c>
      <c r="F4" s="2" t="n">
        <v>196</v>
      </c>
      <c r="G4" s="5">
        <f>E4/F4</f>
        <v/>
      </c>
      <c r="H4" s="6">
        <f>IF(D4=0,"",IF(D4="","",(G4-D4)/D4))</f>
        <v/>
      </c>
      <c r="I4" s="3">
        <f>IF(D4="","VERIFICAR EN PANEL",IF(ABS(G4-D4)/D4&gt;0.01,"ACTUALIZAR","OK"))</f>
        <v/>
      </c>
      <c r="J4" s="3" t="inlineStr">
        <is>
          <t>✔ Actualizado</t>
        </is>
      </c>
    </row>
    <row r="5">
      <c r="A5" s="2" t="inlineStr">
        <is>
          <t>010029</t>
        </is>
      </c>
      <c r="B5" s="3" t="inlineStr">
        <is>
          <t>KETCHUP HELLMANNS SACHET (CJ 196x8g)</t>
        </is>
      </c>
      <c r="C5" s="3" t="inlineStr">
        <is>
          <t>UN (sobre)</t>
        </is>
      </c>
      <c r="D5" s="4" t="n">
        <v>69.76000000000001</v>
      </c>
      <c r="E5" s="4" t="n">
        <v>13673.07</v>
      </c>
      <c r="F5" s="2" t="n">
        <v>196</v>
      </c>
      <c r="G5" s="5">
        <f>E5/F5</f>
        <v/>
      </c>
      <c r="H5" s="6">
        <f>IF(D5=0,"",IF(D5="","",(G5-D5)/D5))</f>
        <v/>
      </c>
      <c r="I5" s="3">
        <f>IF(D5="","VERIFICAR EN PANEL",IF(ABS(G5-D5)/D5&gt;0.01,"ACTUALIZAR","OK"))</f>
        <v/>
      </c>
      <c r="J5" s="3" t="inlineStr">
        <is>
          <t>✔ Actualizado</t>
        </is>
      </c>
    </row>
    <row r="6">
      <c r="A6" s="2" t="inlineStr">
        <is>
          <t>010010</t>
        </is>
      </c>
      <c r="B6" s="3" t="inlineStr">
        <is>
          <t>AZUCAR EN SOBRES (CJ 800)</t>
        </is>
      </c>
      <c r="C6" s="3" t="inlineStr">
        <is>
          <t>UN (sobre)</t>
        </is>
      </c>
      <c r="D6" s="4" t="n">
        <v>15.89</v>
      </c>
      <c r="E6" s="4" t="n">
        <v>12967.41</v>
      </c>
      <c r="F6" s="2" t="n">
        <v>800</v>
      </c>
      <c r="G6" s="5">
        <f>E6/F6</f>
        <v/>
      </c>
      <c r="H6" s="6">
        <f>IF(D6=0,"",IF(D6="","",(G6-D6)/D6))</f>
        <v/>
      </c>
      <c r="I6" s="3">
        <f>IF(D6="","VERIFICAR EN PANEL",IF(ABS(G6-D6)/D6&gt;0.01,"ACTUALIZAR","OK"))</f>
        <v/>
      </c>
      <c r="J6" s="3" t="inlineStr">
        <is>
          <t>Pendiente: sigue con el valor de junio</t>
        </is>
      </c>
    </row>
    <row r="7">
      <c r="A7" s="2" t="inlineStr">
        <is>
          <t>010011</t>
        </is>
      </c>
      <c r="B7" s="3" t="inlineStr">
        <is>
          <t>SAL FINA EN SOBRES (CJ 1000)</t>
        </is>
      </c>
      <c r="C7" s="3" t="inlineStr">
        <is>
          <t>UN (sobre)</t>
        </is>
      </c>
      <c r="D7" s="7" t="n"/>
      <c r="E7" s="4" t="n">
        <v>7240</v>
      </c>
      <c r="F7" s="2" t="n">
        <v>1000</v>
      </c>
      <c r="G7" s="5">
        <f>E7/F7</f>
        <v/>
      </c>
      <c r="H7" s="6">
        <f>IF(D7=0,"",IF(D7="","",(G7-D7)/D7))</f>
        <v/>
      </c>
      <c r="I7" s="3">
        <f>IF(D7="","VERIFICAR EN PANEL",IF(ABS(G7-D7)/D7&gt;0.01,"ACTUALIZAR","OK"))</f>
        <v/>
      </c>
      <c r="J7" s="8" t="inlineStr">
        <is>
          <t>⚠ 010011 sin costo; el panel lo muestra en 010031 ($7,10). Confirmar código</t>
        </is>
      </c>
    </row>
    <row r="8">
      <c r="A8" s="2" t="inlineStr">
        <is>
          <t>080008</t>
        </is>
      </c>
      <c r="B8" s="3" t="inlineStr">
        <is>
          <t>QUESO CHEDDAR BARRA 140 FETAS</t>
        </is>
      </c>
      <c r="C8" s="3" t="inlineStr">
        <is>
          <t>KG</t>
        </is>
      </c>
      <c r="D8" s="4" t="n">
        <v>19520</v>
      </c>
      <c r="E8" s="4" t="n">
        <v>19520</v>
      </c>
      <c r="F8" s="2" t="n">
        <v>1.68</v>
      </c>
      <c r="G8" s="5">
        <f>E8/F8</f>
        <v/>
      </c>
      <c r="H8" s="6">
        <f>IF(D8=0,"",IF(D8="","",(G8-D8)/D8))</f>
        <v/>
      </c>
      <c r="I8" s="3">
        <f>IF(D8="","VERIFICAR EN PANEL",IF(ABS(G8-D8)/D8&gt;0.01,"ACTUALIZAR","OK"))</f>
        <v/>
      </c>
      <c r="J8" s="3" t="inlineStr">
        <is>
          <t>⚠ Se cargó el precio POR BARRA pero la unidad de stock es KG: va ≈$11.619 (barra ~1,68kg — verificar peso)</t>
        </is>
      </c>
    </row>
    <row r="9">
      <c r="A9" s="2" t="inlineStr">
        <is>
          <t>080009</t>
        </is>
      </c>
      <c r="B9" s="3" t="inlineStr">
        <is>
          <t>CHEDDAR LIQUIDO (manga 3KG)</t>
        </is>
      </c>
      <c r="C9" s="3" t="inlineStr">
        <is>
          <t>KG</t>
        </is>
      </c>
      <c r="D9" s="4" t="n">
        <v>19730</v>
      </c>
      <c r="E9" s="4" t="n">
        <v>19730</v>
      </c>
      <c r="F9" s="2" t="n">
        <v>3</v>
      </c>
      <c r="G9" s="5">
        <f>E9/F9</f>
        <v/>
      </c>
      <c r="H9" s="6">
        <f>IF(D9=0,"",IF(D9="","",(G9-D9)/D9))</f>
        <v/>
      </c>
      <c r="I9" s="3">
        <f>IF(D9="","VERIFICAR EN PANEL",IF(ABS(G9-D9)/D9&gt;0.01,"ACTUALIZAR","OK"))</f>
        <v/>
      </c>
      <c r="J9" s="3" t="inlineStr">
        <is>
          <t>⚠ Se cargó el precio POR MANGA pero la unidad es KG: va $6.576,67</t>
        </is>
      </c>
    </row>
    <row r="10">
      <c r="A10" s="2" t="inlineStr">
        <is>
          <t>050041</t>
        </is>
      </c>
      <c r="B10" s="3" t="inlineStr">
        <is>
          <t>MOSTAZA SAVORA 3x3KG</t>
        </is>
      </c>
      <c r="C10" s="3" t="inlineStr">
        <is>
          <t>KG</t>
        </is>
      </c>
      <c r="D10" s="4" t="n">
        <v>5150</v>
      </c>
      <c r="E10" s="4" t="n">
        <v>27155.39</v>
      </c>
      <c r="F10" s="2" t="n">
        <v>9</v>
      </c>
      <c r="G10" s="5">
        <f>E10/F10</f>
        <v/>
      </c>
      <c r="H10" s="6">
        <f>IF(D10=0,"",IF(D10="","",(G10-D10)/D10))</f>
        <v/>
      </c>
      <c r="I10" s="3">
        <f>IF(D10="","VERIFICAR EN PANEL",IF(ABS(G10-D10)/D10&gt;0.01,"ACTUALIZAR","OK"))</f>
        <v/>
      </c>
      <c r="J10" s="3" t="inlineStr">
        <is>
          <t>⚠ El artículo 050041 se llama 'Mostaza Dulce x Kilo'. Si es la Savora de la lista, va $3.017,27; si no, revisar mapeo</t>
        </is>
      </c>
    </row>
    <row r="11">
      <c r="A11" s="2" t="inlineStr">
        <is>
          <t>020009</t>
        </is>
      </c>
      <c r="B11" s="3" t="inlineStr">
        <is>
          <t>COCA-COLA PET 600 (x6)</t>
        </is>
      </c>
      <c r="C11" s="3" t="inlineStr">
        <is>
          <t>UN</t>
        </is>
      </c>
      <c r="D11" s="4" t="n">
        <v>1041.56</v>
      </c>
      <c r="E11" s="4" t="n">
        <v>6249.33</v>
      </c>
      <c r="F11" s="2" t="n">
        <v>6</v>
      </c>
      <c r="G11" s="5">
        <f>E11/F11</f>
        <v/>
      </c>
      <c r="H11" s="6">
        <f>IF(D11=0,"",IF(D11="","",(G11-D11)/D11))</f>
        <v/>
      </c>
      <c r="I11" s="3">
        <f>IF(D11="","VERIFICAR EN PANEL",IF(ABS(G11-D11)/D11&gt;0.01,"ACTUALIZAR","OK"))</f>
        <v/>
      </c>
      <c r="J11" s="3" t="inlineStr">
        <is>
          <t>✔ Actualizado</t>
        </is>
      </c>
    </row>
    <row r="12">
      <c r="A12" s="2" t="inlineStr">
        <is>
          <t>020010</t>
        </is>
      </c>
      <c r="B12" s="3" t="inlineStr">
        <is>
          <t>COCA-COLA ZERO 600 (x6)</t>
        </is>
      </c>
      <c r="C12" s="3" t="inlineStr">
        <is>
          <t>UN</t>
        </is>
      </c>
      <c r="D12" s="4" t="n">
        <v>1041.56</v>
      </c>
      <c r="E12" s="4" t="n">
        <v>6249.33</v>
      </c>
      <c r="F12" s="2" t="n">
        <v>6</v>
      </c>
      <c r="G12" s="5">
        <f>E12/F12</f>
        <v/>
      </c>
      <c r="H12" s="6">
        <f>IF(D12=0,"",IF(D12="","",(G12-D12)/D12))</f>
        <v/>
      </c>
      <c r="I12" s="3">
        <f>IF(D12="","VERIFICAR EN PANEL",IF(ABS(G12-D12)/D12&gt;0.01,"ACTUALIZAR","OK"))</f>
        <v/>
      </c>
      <c r="J12" s="3" t="inlineStr">
        <is>
          <t>✔ Actualizado</t>
        </is>
      </c>
    </row>
    <row r="13">
      <c r="A13" s="2" t="inlineStr">
        <is>
          <t>020011</t>
        </is>
      </c>
      <c r="B13" s="3" t="inlineStr">
        <is>
          <t>COCA LIGHT (x6)</t>
        </is>
      </c>
      <c r="C13" s="3" t="inlineStr">
        <is>
          <t>UN</t>
        </is>
      </c>
      <c r="D13" s="4" t="n">
        <v>1041.56</v>
      </c>
      <c r="E13" s="4" t="n">
        <v>6249.33</v>
      </c>
      <c r="F13" s="2" t="n">
        <v>6</v>
      </c>
      <c r="G13" s="5">
        <f>E13/F13</f>
        <v/>
      </c>
      <c r="H13" s="6">
        <f>IF(D13=0,"",IF(D13="","",(G13-D13)/D13))</f>
        <v/>
      </c>
      <c r="I13" s="3">
        <f>IF(D13="","VERIFICAR EN PANEL",IF(ABS(G13-D13)/D13&gt;0.01,"ACTUALIZAR","OK"))</f>
        <v/>
      </c>
      <c r="J13" s="3" t="inlineStr">
        <is>
          <t>✔ Actualizado</t>
        </is>
      </c>
    </row>
    <row r="14">
      <c r="A14" s="2" t="inlineStr">
        <is>
          <t>020012</t>
        </is>
      </c>
      <c r="B14" s="3" t="inlineStr">
        <is>
          <t>SPRITE 600 (x6)</t>
        </is>
      </c>
      <c r="C14" s="3" t="inlineStr">
        <is>
          <t>UN</t>
        </is>
      </c>
      <c r="D14" s="4" t="n">
        <v>1034.28</v>
      </c>
      <c r="E14" s="4" t="n">
        <v>6205.65</v>
      </c>
      <c r="F14" s="2" t="n">
        <v>6</v>
      </c>
      <c r="G14" s="5">
        <f>E14/F14</f>
        <v/>
      </c>
      <c r="H14" s="6">
        <f>IF(D14=0,"",IF(D14="","",(G14-D14)/D14))</f>
        <v/>
      </c>
      <c r="I14" s="3">
        <f>IF(D14="","VERIFICAR EN PANEL",IF(ABS(G14-D14)/D14&gt;0.01,"ACTUALIZAR","OK"))</f>
        <v/>
      </c>
      <c r="J14" s="3" t="inlineStr">
        <is>
          <t>✔ Actualizado</t>
        </is>
      </c>
    </row>
    <row r="15">
      <c r="A15" s="2" t="inlineStr">
        <is>
          <t>020013</t>
        </is>
      </c>
      <c r="B15" s="3" t="inlineStr">
        <is>
          <t>SPRITE ZERO 600 (x6)</t>
        </is>
      </c>
      <c r="C15" s="3" t="inlineStr">
        <is>
          <t>UN</t>
        </is>
      </c>
      <c r="D15" s="4" t="n">
        <v>1034.28</v>
      </c>
      <c r="E15" s="4" t="n">
        <v>6205.65</v>
      </c>
      <c r="F15" s="2" t="n">
        <v>6</v>
      </c>
      <c r="G15" s="5">
        <f>E15/F15</f>
        <v/>
      </c>
      <c r="H15" s="6">
        <f>IF(D15=0,"",IF(D15="","",(G15-D15)/D15))</f>
        <v/>
      </c>
      <c r="I15" s="3">
        <f>IF(D15="","VERIFICAR EN PANEL",IF(ABS(G15-D15)/D15&gt;0.01,"ACTUALIZAR","OK"))</f>
        <v/>
      </c>
      <c r="J15" s="3" t="inlineStr">
        <is>
          <t>✔ Actualizado</t>
        </is>
      </c>
    </row>
    <row r="16">
      <c r="A16" s="2" t="inlineStr">
        <is>
          <t>020014</t>
        </is>
      </c>
      <c r="B16" s="3" t="inlineStr">
        <is>
          <t>FANTA NARANJA 600 (x6)</t>
        </is>
      </c>
      <c r="C16" s="3" t="inlineStr">
        <is>
          <t>UN</t>
        </is>
      </c>
      <c r="D16" s="4" t="n">
        <v>1041.28</v>
      </c>
      <c r="E16" s="4" t="n">
        <v>6249.33</v>
      </c>
      <c r="F16" s="2" t="n">
        <v>6</v>
      </c>
      <c r="G16" s="5">
        <f>E16/F16</f>
        <v/>
      </c>
      <c r="H16" s="6">
        <f>IF(D16=0,"",IF(D16="","",(G16-D16)/D16))</f>
        <v/>
      </c>
      <c r="I16" s="3">
        <f>IF(D16="","VERIFICAR EN PANEL",IF(ABS(G16-D16)/D16&gt;0.01,"ACTUALIZAR","OK"))</f>
        <v/>
      </c>
      <c r="J16" s="3" t="inlineStr">
        <is>
          <t>Casi: cargado $1.041,28, lista $1.041,56</t>
        </is>
      </c>
    </row>
    <row r="17">
      <c r="A17" s="2" t="inlineStr">
        <is>
          <t>020030</t>
        </is>
      </c>
      <c r="B17" s="3" t="inlineStr">
        <is>
          <t>AGUA / SMART WATER (x6)</t>
        </is>
      </c>
      <c r="C17" s="3" t="inlineStr">
        <is>
          <t>UN</t>
        </is>
      </c>
      <c r="D17" s="4" t="n">
        <v>696.2</v>
      </c>
      <c r="E17" s="4" t="n">
        <v>4177.18</v>
      </c>
      <c r="F17" s="2" t="n">
        <v>6</v>
      </c>
      <c r="G17" s="5">
        <f>E17/F17</f>
        <v/>
      </c>
      <c r="H17" s="6">
        <f>IF(D17=0,"",IF(D17="","",(G17-D17)/D17))</f>
        <v/>
      </c>
      <c r="I17" s="3">
        <f>IF(D17="","VERIFICAR EN PANEL",IF(ABS(G17-D17)/D17&gt;0.01,"ACTUALIZAR","OK"))</f>
        <v/>
      </c>
      <c r="J17" s="3" t="inlineStr">
        <is>
          <t>✔ Actualizado</t>
        </is>
      </c>
    </row>
    <row r="18">
      <c r="A18" s="2" t="inlineStr">
        <is>
          <t>040013</t>
        </is>
      </c>
      <c r="B18" s="3" t="inlineStr">
        <is>
          <t>NOT BURGER (CJ 62x80g)</t>
        </is>
      </c>
      <c r="C18" s="3" t="inlineStr">
        <is>
          <t>UN (medallón)</t>
        </is>
      </c>
      <c r="D18" s="4" t="n">
        <v>1240.25</v>
      </c>
      <c r="E18" s="4" t="n">
        <v>76895.75999999999</v>
      </c>
      <c r="F18" s="2" t="n">
        <v>62</v>
      </c>
      <c r="G18" s="5">
        <f>E18/F18</f>
        <v/>
      </c>
      <c r="H18" s="6">
        <f>IF(D18=0,"",IF(D18="","",(G18-D18)/D18))</f>
        <v/>
      </c>
      <c r="I18" s="3">
        <f>IF(D18="","VERIFICAR EN PANEL",IF(ABS(G18-D18)/D18&gt;0.01,"ACTUALIZAR","OK"))</f>
        <v/>
      </c>
      <c r="J18" s="3" t="inlineStr">
        <is>
          <t>✔ Actualizado</t>
        </is>
      </c>
    </row>
    <row r="19">
      <c r="A19" s="2" t="inlineStr">
        <is>
          <t>040009</t>
        </is>
      </c>
      <c r="B19" s="3" t="inlineStr">
        <is>
          <t>MEDALLON POLLO ARTICO</t>
        </is>
      </c>
      <c r="C19" s="3" t="inlineStr">
        <is>
          <t>UN (medallón)</t>
        </is>
      </c>
      <c r="D19" s="4" t="n">
        <v>798.48</v>
      </c>
      <c r="E19" s="4" t="n">
        <v>49825.12</v>
      </c>
      <c r="F19" s="2" t="n">
        <v>62.4</v>
      </c>
      <c r="G19" s="5">
        <f>E19/F19</f>
        <v/>
      </c>
      <c r="H19" s="6">
        <f>IF(D19=0,"",IF(D19="","",(G19-D19)/D19))</f>
        <v/>
      </c>
      <c r="I19" s="3">
        <f>IF(D19="","VERIFICAR EN PANEL",IF(ABS(G19-D19)/D19&gt;0.01,"ACTUALIZAR","OK"))</f>
        <v/>
      </c>
      <c r="J19" s="3" t="inlineStr">
        <is>
          <t>Cargado por medallón ($798,48) — consistente si la caja trae ~62 medallones; verificar</t>
        </is>
      </c>
    </row>
    <row r="20">
      <c r="A20" s="2" t="inlineStr">
        <is>
          <t>140004</t>
        </is>
      </c>
      <c r="B20" s="3" t="inlineStr">
        <is>
          <t>TRIANGULOS MOZZARELLA (por KG)</t>
        </is>
      </c>
      <c r="C20" s="3" t="inlineStr">
        <is>
          <t>KG</t>
        </is>
      </c>
      <c r="D20" s="7" t="n"/>
      <c r="E20" s="4" t="n">
        <v>111640</v>
      </c>
      <c r="F20" s="2" t="n">
        <v>6</v>
      </c>
      <c r="G20" s="5">
        <f>E20/F20</f>
        <v/>
      </c>
      <c r="H20" s="6">
        <f>IF(D20=0,"",IF(D20="","",(G20-D20)/D20))</f>
        <v/>
      </c>
      <c r="I20" s="3">
        <f>IF(D20="","VERIFICAR EN PANEL",IF(ABS(G20-D20)/D20&gt;0.01,"ACTUALIZAR","OK"))</f>
        <v/>
      </c>
      <c r="J20" s="8" t="inlineStr">
        <is>
          <t>SIN COSTO cargado todavía</t>
        </is>
      </c>
    </row>
    <row r="21">
      <c r="A21" s="2" t="inlineStr">
        <is>
          <t>140005</t>
        </is>
      </c>
      <c r="B21" s="3" t="inlineStr">
        <is>
          <t>AROS DE CEBOLLA (por KG)</t>
        </is>
      </c>
      <c r="C21" s="3" t="inlineStr">
        <is>
          <t>KG</t>
        </is>
      </c>
      <c r="D21" s="7" t="n"/>
      <c r="E21" s="4" t="n">
        <v>111640</v>
      </c>
      <c r="F21" s="2" t="n">
        <v>10</v>
      </c>
      <c r="G21" s="5">
        <f>E21/F21</f>
        <v/>
      </c>
      <c r="H21" s="6">
        <f>IF(D21=0,"",IF(D21="","",(G21-D21)/D21))</f>
        <v/>
      </c>
      <c r="I21" s="3">
        <f>IF(D21="","VERIFICAR EN PANEL",IF(ABS(G21-D21)/D21&gt;0.01,"ACTUALIZAR","OK"))</f>
        <v/>
      </c>
      <c r="J21" s="8" t="inlineStr">
        <is>
          <t>SIN COSTO cargado todavía</t>
        </is>
      </c>
    </row>
    <row r="22">
      <c r="A22" s="2" t="inlineStr">
        <is>
          <t>140010</t>
        </is>
      </c>
      <c r="B22" s="3" t="inlineStr">
        <is>
          <t>BITES ESPINACA Y QUESO (por KG)</t>
        </is>
      </c>
      <c r="C22" s="3" t="inlineStr">
        <is>
          <t>KG</t>
        </is>
      </c>
      <c r="D22" s="7" t="n"/>
      <c r="E22" s="4" t="n">
        <v>75824.09</v>
      </c>
      <c r="F22" s="2" t="n">
        <v>6</v>
      </c>
      <c r="G22" s="5">
        <f>E22/F22</f>
        <v/>
      </c>
      <c r="H22" s="6">
        <f>IF(D22=0,"",IF(D22="","",(G22-D22)/D22))</f>
        <v/>
      </c>
      <c r="I22" s="3">
        <f>IF(D22="","VERIFICAR EN PANEL",IF(ABS(G22-D22)/D22&gt;0.01,"ACTUALIZAR","OK"))</f>
        <v/>
      </c>
      <c r="J22" s="8" t="inlineStr">
        <is>
          <t>SIN COSTO cargado todavía</t>
        </is>
      </c>
    </row>
    <row r="23">
      <c r="A23" s="2" t="inlineStr">
        <is>
          <t>040016</t>
        </is>
      </c>
      <c r="B23" s="3" t="inlineStr">
        <is>
          <t>PAPAS MCCAIN SC 9MM (6x2,5KG)</t>
        </is>
      </c>
      <c r="C23" s="3" t="inlineStr">
        <is>
          <t>KG</t>
        </is>
      </c>
      <c r="D23" s="4" t="n">
        <v>5650</v>
      </c>
      <c r="E23" s="4" t="n">
        <v>84797.75999999999</v>
      </c>
      <c r="F23" s="2" t="n">
        <v>15</v>
      </c>
      <c r="G23" s="5">
        <f>E23/F23</f>
        <v/>
      </c>
      <c r="H23" s="6">
        <f>IF(D23=0,"",IF(D23="","",(G23-D23)/D23))</f>
        <v/>
      </c>
      <c r="I23" s="3">
        <f>IF(D23="","VERIFICAR EN PANEL",IF(ABS(G23-D23)/D23&gt;0.01,"ACTUALIZAR","OK"))</f>
        <v/>
      </c>
      <c r="J23" s="3" t="inlineStr">
        <is>
          <t>OK (dif 0,06%)</t>
        </is>
      </c>
    </row>
    <row r="24">
      <c r="A24" s="2" t="inlineStr">
        <is>
          <t>060007</t>
        </is>
      </c>
      <c r="B24" s="3" t="inlineStr">
        <is>
          <t>PAN DE PAPA UNIVERSAL</t>
        </is>
      </c>
      <c r="C24" s="3" t="inlineStr">
        <is>
          <t>UN</t>
        </is>
      </c>
      <c r="D24" s="4" t="n">
        <v>375</v>
      </c>
      <c r="E24" s="4" t="n">
        <v>375</v>
      </c>
      <c r="F24" s="2" t="n">
        <v>1</v>
      </c>
      <c r="G24" s="5">
        <f>E24/F24</f>
        <v/>
      </c>
      <c r="H24" s="6">
        <f>IF(D24=0,"",IF(D24="","",(G24-D24)/D24))</f>
        <v/>
      </c>
      <c r="I24" s="3">
        <f>IF(D24="","VERIFICAR EN PANEL",IF(ABS(G24-D24)/D24&gt;0.01,"ACTUALIZAR","OK"))</f>
        <v/>
      </c>
      <c r="J24" s="3" t="inlineStr">
        <is>
          <t>OK. ⚠ La planilla lo asigna a 60001, que en ambos maestros es 'Pan Petit de Papa'</t>
        </is>
      </c>
    </row>
    <row r="25">
      <c r="A25" s="2" t="inlineStr">
        <is>
          <t>070010</t>
        </is>
      </c>
      <c r="B25" s="3" t="inlineStr">
        <is>
          <t>SERVILLETA C/LOGO (paquete x800)</t>
        </is>
      </c>
      <c r="C25" s="3" t="inlineStr">
        <is>
          <t>UN</t>
        </is>
      </c>
      <c r="D25" s="4" t="n">
        <v>21.93</v>
      </c>
      <c r="E25" s="4" t="n">
        <v>17543.97</v>
      </c>
      <c r="F25" s="2" t="n">
        <v>800</v>
      </c>
      <c r="G25" s="5">
        <f>E25/F25</f>
        <v/>
      </c>
      <c r="H25" s="6">
        <f>IF(D25=0,"",IF(D25="","",(G25-D25)/D25))</f>
        <v/>
      </c>
      <c r="I25" s="3">
        <f>IF(D25="","VERIFICAR EN PANEL",IF(ABS(G25-D25)/D25&gt;0.01,"ACTUALIZAR","OK"))</f>
        <v/>
      </c>
      <c r="J25" s="3" t="inlineStr">
        <is>
          <t>OK. ⚠ Planilla asigna 70015; las recetas usan 070010</t>
        </is>
      </c>
    </row>
    <row r="27">
      <c r="B27" s="9" t="inlineStr">
        <is>
          <t>Azul = dato cargado a mano (lista CDP 01/07/2026 y STA12 relevado el 10/07 (post-carga de Pablo)). Negro = fórmula.</t>
        </is>
      </c>
    </row>
    <row r="28">
      <c r="B28" s="9" t="inlineStr">
        <is>
          <t>Amarillo = falta verificar el valor actual en el panel 'Precios para costos' de Tango antes de cargar.</t>
        </is>
      </c>
    </row>
    <row r="29">
      <c r="B29" s="9" t="inlineStr">
        <is>
          <t>Fuente: LISTA DE PRECIOS CDP DESEMBARCO vigencia 01/07/2026 (planilla de Pablo) + STA12 MAESTRO relevado 08/07/2026.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4" customWidth="1" min="4" max="4"/>
    <col width="42" customWidth="1" min="5" max="5"/>
    <col width="34" customWidth="1" min="6" max="6"/>
  </cols>
  <sheetData>
    <row r="1">
      <c r="A1" s="1" t="inlineStr">
        <is>
          <t>Producto (lista CDP)</t>
        </is>
      </c>
      <c r="B1" s="1" t="inlineStr">
        <is>
          <t>Lista 01-07 ($ x bulto)</t>
        </is>
      </c>
      <c r="C1" s="1" t="inlineStr">
        <is>
          <t>Contenido del bulto</t>
        </is>
      </c>
      <c r="D1" s="1" t="inlineStr">
        <is>
          <t>$ x unidad</t>
        </is>
      </c>
      <c r="E1" s="1" t="inlineStr">
        <is>
          <t>Candidato en maestro</t>
        </is>
      </c>
      <c r="F1" s="1" t="inlineStr">
        <is>
          <t>Acción</t>
        </is>
      </c>
    </row>
    <row r="2">
      <c r="A2" s="3" t="inlineStr">
        <is>
          <t>LATA BLONDE DESEMBARCO</t>
        </is>
      </c>
      <c r="B2" s="4" t="n">
        <v>1800</v>
      </c>
      <c r="C2" s="2" t="n">
        <v>1</v>
      </c>
      <c r="D2" s="5">
        <f>B2/C2</f>
        <v/>
      </c>
      <c r="E2" s="3" t="inlineStr">
        <is>
          <t>030316 LATA BLONDE DESEMBARCO</t>
        </is>
      </c>
      <c r="F2" s="3" t="inlineStr">
        <is>
          <t>Asignar código y cargar costo</t>
        </is>
      </c>
    </row>
    <row r="3">
      <c r="A3" s="3" t="inlineStr">
        <is>
          <t>LATA HONEY DESEMBARCO</t>
        </is>
      </c>
      <c r="B3" s="4" t="n">
        <v>1950</v>
      </c>
      <c r="C3" s="2" t="n">
        <v>1</v>
      </c>
      <c r="D3" s="5">
        <f>B3/C3</f>
        <v/>
      </c>
      <c r="E3" s="3" t="inlineStr">
        <is>
          <t>030317 LATA HONEY DESEMBARCO</t>
        </is>
      </c>
      <c r="F3" s="3" t="inlineStr">
        <is>
          <t>Asignar código y cargar costo</t>
        </is>
      </c>
    </row>
    <row r="4">
      <c r="A4" s="3" t="inlineStr">
        <is>
          <t>LATA IPA DESEMBARCO</t>
        </is>
      </c>
      <c r="B4" s="4" t="n">
        <v>2600</v>
      </c>
      <c r="C4" s="2" t="n">
        <v>1</v>
      </c>
      <c r="D4" s="5">
        <f>B4/C4</f>
        <v/>
      </c>
      <c r="E4" s="3" t="inlineStr">
        <is>
          <t>030320 LATA IPA DESEMBARCO</t>
        </is>
      </c>
      <c r="F4" s="3" t="inlineStr">
        <is>
          <t>Asignar código y cargar costo</t>
        </is>
      </c>
    </row>
    <row r="5">
      <c r="A5" s="3" t="inlineStr">
        <is>
          <t>LATA SCOTTISH DESEMBARCO</t>
        </is>
      </c>
      <c r="B5" s="4" t="n">
        <v>2000</v>
      </c>
      <c r="C5" s="2" t="n">
        <v>1</v>
      </c>
      <c r="D5" s="5">
        <f>B5/C5</f>
        <v/>
      </c>
      <c r="E5" s="3" t="inlineStr">
        <is>
          <t>030319 LATA SCOTTISH DESEMBARCO</t>
        </is>
      </c>
      <c r="F5" s="3" t="inlineStr">
        <is>
          <t>Asignar código y cargar costo</t>
        </is>
      </c>
    </row>
    <row r="6">
      <c r="A6" s="3" t="inlineStr">
        <is>
          <t>LATA STOUT DESEMBARCO</t>
        </is>
      </c>
      <c r="B6" s="4" t="n">
        <v>2300</v>
      </c>
      <c r="C6" s="2" t="n">
        <v>1</v>
      </c>
      <c r="D6" s="5">
        <f>B6/C6</f>
        <v/>
      </c>
      <c r="E6" s="3" t="inlineStr">
        <is>
          <t>030318 LATA STOUT DESEMBARCO</t>
        </is>
      </c>
      <c r="F6" s="3" t="inlineStr">
        <is>
          <t>Asignar código y cargar costo</t>
        </is>
      </c>
    </row>
    <row r="7">
      <c r="A7" s="3" t="inlineStr">
        <is>
          <t>LATAS MR TASTY</t>
        </is>
      </c>
      <c r="B7" s="4" t="n">
        <v>1700</v>
      </c>
      <c r="C7" s="2" t="n">
        <v>1</v>
      </c>
      <c r="D7" s="5">
        <f>B7/C7</f>
        <v/>
      </c>
      <c r="E7" s="3" t="inlineStr">
        <is>
          <t>038004 LATA TASTY 500CC</t>
        </is>
      </c>
      <c r="F7" s="3" t="inlineStr">
        <is>
          <t>Asignar código y cargar costo</t>
        </is>
      </c>
    </row>
    <row r="8">
      <c r="A8" s="3" t="inlineStr">
        <is>
          <t>QUESO CHEDDAR BARRA 168 FETAS</t>
        </is>
      </c>
      <c r="B8" s="4" t="n">
        <v>22581.32</v>
      </c>
      <c r="C8" s="2" t="n">
        <v>1</v>
      </c>
      <c r="D8" s="5">
        <f>B8/C8</f>
        <v/>
      </c>
      <c r="E8" s="3" t="inlineStr"/>
      <c r="F8" s="3" t="inlineStr">
        <is>
          <t>Crear artículo o unificar con 080008</t>
        </is>
      </c>
    </row>
    <row r="9">
      <c r="A9" s="3" t="inlineStr">
        <is>
          <t>MAYONESA HELLMANS ASADO x950g</t>
        </is>
      </c>
      <c r="B9" s="4" t="n">
        <v>4684.28</v>
      </c>
      <c r="C9" s="2" t="n">
        <v>1</v>
      </c>
      <c r="D9" s="5">
        <f>B9/C9</f>
        <v/>
      </c>
      <c r="E9" s="3" t="inlineStr"/>
      <c r="F9" s="3" t="inlineStr">
        <is>
          <t>Crear artículo si se usa en recetas</t>
        </is>
      </c>
    </row>
    <row r="10">
      <c r="A10" s="3" t="inlineStr">
        <is>
          <t>PULPA DE FRUTILLA LAT 880g</t>
        </is>
      </c>
      <c r="B10" s="4" t="n">
        <v>3487</v>
      </c>
      <c r="C10" s="2" t="n">
        <v>1</v>
      </c>
      <c r="D10" s="5">
        <f>B10/C10</f>
        <v/>
      </c>
      <c r="E10" s="3" t="inlineStr"/>
      <c r="F10" s="3" t="inlineStr">
        <is>
          <t>Crear/asignar (postres)</t>
        </is>
      </c>
    </row>
    <row r="11">
      <c r="A11" s="3" t="inlineStr">
        <is>
          <t>MIX FRUTOS ROJOS 1KG</t>
        </is>
      </c>
      <c r="B11" s="4" t="n">
        <v>11680.63</v>
      </c>
      <c r="C11" s="2" t="n">
        <v>1</v>
      </c>
      <c r="D11" s="5">
        <f>B11/C11</f>
        <v/>
      </c>
      <c r="E11" s="3" t="inlineStr"/>
      <c r="F11" s="3" t="inlineStr">
        <is>
          <t>Crear/asignar</t>
        </is>
      </c>
    </row>
    <row r="12">
      <c r="A12" s="3" t="inlineStr">
        <is>
          <t>FRUTILLAS IQF 1KG</t>
        </is>
      </c>
      <c r="B12" s="4" t="n">
        <v>7078.39</v>
      </c>
      <c r="C12" s="2" t="n">
        <v>1</v>
      </c>
      <c r="D12" s="5">
        <f>B12/C12</f>
        <v/>
      </c>
      <c r="E12" s="3" t="inlineStr"/>
      <c r="F12" s="3" t="inlineStr">
        <is>
          <t>Crear/asignar</t>
        </is>
      </c>
    </row>
    <row r="13">
      <c r="A13" s="3" t="inlineStr">
        <is>
          <t>SALSA CAESAR (CJ 12x260g)</t>
        </is>
      </c>
      <c r="B13" s="4" t="n">
        <v>33537.6</v>
      </c>
      <c r="C13" s="2" t="n">
        <v>12</v>
      </c>
      <c r="D13" s="5">
        <f>B13/C13</f>
        <v/>
      </c>
      <c r="E13" s="3" t="inlineStr">
        <is>
          <t>010014 Aderezo Caesar (panel: $10.230,84)</t>
        </is>
      </c>
      <c r="F13" s="3" t="inlineStr">
        <is>
          <t>⚠ Revisar unidad: panel parece x KG o x botella</t>
        </is>
      </c>
    </row>
    <row r="14">
      <c r="A14" s="3" t="inlineStr">
        <is>
          <t>ENSALADERA TASTY CHICA</t>
        </is>
      </c>
      <c r="B14" s="4" t="n">
        <v>339.45</v>
      </c>
      <c r="C14" s="2" t="n">
        <v>1</v>
      </c>
      <c r="D14" s="5">
        <f>B14/C14</f>
        <v/>
      </c>
      <c r="E14" s="3" t="inlineStr"/>
      <c r="F14" s="3" t="inlineStr">
        <is>
          <t>Crear/asignar</t>
        </is>
      </c>
    </row>
    <row r="15">
      <c r="A15" s="3" t="inlineStr">
        <is>
          <t>CAJA MILA &amp; GO</t>
        </is>
      </c>
      <c r="B15" s="4" t="n">
        <v>459.95</v>
      </c>
      <c r="C15" s="2" t="n">
        <v>1</v>
      </c>
      <c r="D15" s="5">
        <f>B15/C15</f>
        <v/>
      </c>
      <c r="E15" s="3" t="inlineStr"/>
      <c r="F15" s="3" t="inlineStr">
        <is>
          <t>Crear/asignar</t>
        </is>
      </c>
    </row>
    <row r="16">
      <c r="A16" s="3" t="inlineStr">
        <is>
          <t>VASO POLIPAPEL 8OZ</t>
        </is>
      </c>
      <c r="B16" s="4" t="n">
        <v>92.04000000000001</v>
      </c>
      <c r="C16" s="2" t="n">
        <v>1</v>
      </c>
      <c r="D16" s="5">
        <f>B16/C16</f>
        <v/>
      </c>
      <c r="E16" s="3" t="inlineStr"/>
      <c r="F16" s="3" t="inlineStr">
        <is>
          <t>Crear/asignar</t>
        </is>
      </c>
    </row>
    <row r="17">
      <c r="A17" s="3" t="inlineStr">
        <is>
          <t>TAPA POLIPAPEL 8OZ</t>
        </is>
      </c>
      <c r="B17" s="4" t="n">
        <v>54.58</v>
      </c>
      <c r="C17" s="2" t="n">
        <v>1</v>
      </c>
      <c r="D17" s="5">
        <f>B17/C17</f>
        <v/>
      </c>
      <c r="E17" s="3" t="inlineStr"/>
      <c r="F17" s="3" t="inlineStr">
        <is>
          <t>Crear/asignar</t>
        </is>
      </c>
    </row>
    <row r="18">
      <c r="A18" s="3" t="inlineStr">
        <is>
          <t>POTE 055 CRISTAL</t>
        </is>
      </c>
      <c r="B18" s="4" t="n">
        <v>61.02</v>
      </c>
      <c r="C18" s="2" t="n">
        <v>1</v>
      </c>
      <c r="D18" s="5">
        <f>B18/C18</f>
        <v/>
      </c>
      <c r="E18" s="3" t="inlineStr"/>
      <c r="F18" s="3" t="inlineStr">
        <is>
          <t>Crear/asignar</t>
        </is>
      </c>
    </row>
    <row r="19">
      <c r="A19" s="3" t="inlineStr">
        <is>
          <t>TAPA POTE 055</t>
        </is>
      </c>
      <c r="B19" s="4" t="n">
        <v>33.66</v>
      </c>
      <c r="C19" s="2" t="n">
        <v>1</v>
      </c>
      <c r="D19" s="5">
        <f>B19/C19</f>
        <v/>
      </c>
      <c r="E19" s="3" t="inlineStr"/>
      <c r="F19" s="3" t="inlineStr">
        <is>
          <t>Crear/asignar</t>
        </is>
      </c>
    </row>
    <row r="20">
      <c r="A20" s="3" t="inlineStr">
        <is>
          <t>CUBIERTO CUCHILLO 3D</t>
        </is>
      </c>
      <c r="B20" s="4" t="n">
        <v>33.02</v>
      </c>
      <c r="C20" s="2" t="n">
        <v>1</v>
      </c>
      <c r="D20" s="5">
        <f>B20/C20</f>
        <v/>
      </c>
      <c r="E20" s="3" t="inlineStr"/>
      <c r="F20" s="3" t="inlineStr">
        <is>
          <t>Crear/asignar</t>
        </is>
      </c>
    </row>
    <row r="21">
      <c r="A21" s="3" t="inlineStr">
        <is>
          <t>CUBIERTO TENEDOR 3D</t>
        </is>
      </c>
      <c r="B21" s="4" t="n">
        <v>33.02</v>
      </c>
      <c r="C21" s="2" t="n">
        <v>1</v>
      </c>
      <c r="D21" s="5">
        <f>B21/C21</f>
        <v/>
      </c>
      <c r="E21" s="3" t="inlineStr"/>
      <c r="F21" s="3" t="inlineStr">
        <is>
          <t>Crear/asignar</t>
        </is>
      </c>
    </row>
    <row r="22">
      <c r="A22" s="3" t="inlineStr">
        <is>
          <t>GUANTES DE NITRILO</t>
        </is>
      </c>
      <c r="B22" s="4" t="n">
        <v>73.53</v>
      </c>
      <c r="C22" s="2" t="n">
        <v>1</v>
      </c>
      <c r="D22" s="5">
        <f>B22/C22</f>
        <v/>
      </c>
      <c r="E22" s="3" t="inlineStr"/>
      <c r="F22" s="3" t="inlineStr">
        <is>
          <t>Crear/asignar</t>
        </is>
      </c>
    </row>
    <row r="23">
      <c r="A23" s="3" t="inlineStr">
        <is>
          <t>FOLEX 18X35</t>
        </is>
      </c>
      <c r="B23" s="4" t="n">
        <v>5753.97</v>
      </c>
      <c r="C23" s="2" t="n">
        <v>1</v>
      </c>
      <c r="D23" s="5">
        <f>B23/C23</f>
        <v/>
      </c>
      <c r="E23" s="3" t="inlineStr"/>
      <c r="F23" s="3" t="inlineStr">
        <is>
          <t>Crear/asignar</t>
        </is>
      </c>
    </row>
    <row r="24">
      <c r="A24" s="3" t="inlineStr">
        <is>
          <t>VASO 330 NATURAL</t>
        </is>
      </c>
      <c r="B24" s="4" t="n">
        <v>81.83</v>
      </c>
      <c r="C24" s="2" t="n">
        <v>1</v>
      </c>
      <c r="D24" s="5">
        <f>B24/C24</f>
        <v/>
      </c>
      <c r="E24" s="3" t="inlineStr"/>
      <c r="F24" s="3" t="inlineStr">
        <is>
          <t>Crear/asignar</t>
        </is>
      </c>
    </row>
    <row r="25">
      <c r="A25" s="3" t="inlineStr">
        <is>
          <t>BOLSA PAPEL 5 KRAFT</t>
        </is>
      </c>
      <c r="B25" s="4" t="n">
        <v>13.99</v>
      </c>
      <c r="C25" s="2" t="n">
        <v>1</v>
      </c>
      <c r="D25" s="5">
        <f>B25/C25</f>
        <v/>
      </c>
      <c r="E25" s="3" t="inlineStr"/>
      <c r="F25" s="3" t="inlineStr">
        <is>
          <t>Crear/asignar</t>
        </is>
      </c>
    </row>
    <row r="26">
      <c r="A26" s="3" t="inlineStr">
        <is>
          <t>GUANTES POLIETILENO</t>
        </is>
      </c>
      <c r="B26" s="4" t="n">
        <v>9.25</v>
      </c>
      <c r="C26" s="2" t="n">
        <v>1</v>
      </c>
      <c r="D26" s="5">
        <f>B26/C26</f>
        <v/>
      </c>
      <c r="E26" s="3" t="inlineStr"/>
      <c r="F26" s="3" t="inlineStr">
        <is>
          <t>Crear/asignar</t>
        </is>
      </c>
    </row>
    <row r="27">
      <c r="A27" s="3" t="inlineStr">
        <is>
          <t>MANOPLA DE PANCHO</t>
        </is>
      </c>
      <c r="B27" s="4" t="n">
        <v>23.51</v>
      </c>
      <c r="C27" s="2" t="n">
        <v>1</v>
      </c>
      <c r="D27" s="5">
        <f>B27/C27</f>
        <v/>
      </c>
      <c r="E27" s="3" t="inlineStr"/>
      <c r="F27" s="3" t="inlineStr">
        <is>
          <t>Crear/asignar</t>
        </is>
      </c>
    </row>
    <row r="28">
      <c r="A28" s="3" t="inlineStr">
        <is>
          <t>CONO DE PAPAS (genérico)</t>
        </is>
      </c>
      <c r="B28" s="4" t="n">
        <v>69.45</v>
      </c>
      <c r="C28" s="2" t="n">
        <v>1</v>
      </c>
      <c r="D28" s="5">
        <f>B28/C28</f>
        <v/>
      </c>
      <c r="E28" s="3" t="inlineStr">
        <is>
          <t>148002 CONO DE PAPAS</t>
        </is>
      </c>
      <c r="F28" s="3" t="inlineStr">
        <is>
          <t>¿Duplicado del cod 008?</t>
        </is>
      </c>
    </row>
    <row r="29">
      <c r="A29" s="3" t="inlineStr">
        <is>
          <t>HELADO SOFT EN POLVO 10KG</t>
        </is>
      </c>
      <c r="B29" s="4" t="n">
        <v>84100</v>
      </c>
      <c r="C29" s="2" t="n">
        <v>10</v>
      </c>
      <c r="D29" s="5">
        <f>B29/C29</f>
        <v/>
      </c>
      <c r="E29" s="3" t="inlineStr"/>
      <c r="F29" s="3" t="inlineStr">
        <is>
          <t>Crear/asignar (por KG)</t>
        </is>
      </c>
    </row>
    <row r="30">
      <c r="A30" s="3" t="inlineStr">
        <is>
          <t>CONO AMERICANO HELADO (x195)</t>
        </is>
      </c>
      <c r="B30" s="4" t="n">
        <v>22900</v>
      </c>
      <c r="C30" s="2" t="n">
        <v>195</v>
      </c>
      <c r="D30" s="5">
        <f>B30/C30</f>
        <v/>
      </c>
      <c r="E30" s="3" t="inlineStr"/>
      <c r="F30" s="3" t="inlineStr">
        <is>
          <t>Crear/asignar (por unidad)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  <col width="52" customWidth="1" min="4" max="4"/>
  </cols>
  <sheetData>
    <row r="1">
      <c r="A1" s="1" t="inlineStr">
        <is>
          <t>#</t>
        </is>
      </c>
      <c r="B1" s="1" t="inlineStr">
        <is>
          <t>Anomalía</t>
        </is>
      </c>
      <c r="C1" s="1" t="inlineStr">
        <is>
          <t>Detalle</t>
        </is>
      </c>
      <c r="D1" s="1" t="inlineStr">
        <is>
          <t>Sugerencia</t>
        </is>
      </c>
    </row>
    <row r="2">
      <c r="A2" s="3" t="n">
        <v>1</v>
      </c>
      <c r="B2" s="10" t="inlineStr">
        <is>
          <t>PAN DE PAPA asignado a 60001</t>
        </is>
      </c>
      <c r="C2" s="3" t="inlineStr">
        <is>
          <t>En el maestro, 'Pan de papa universal' es 060007 (es el código que usan las recetas)</t>
        </is>
      </c>
      <c r="D2" s="3" t="inlineStr">
        <is>
          <t>Corregir el CÓDIGO ASIGNADO de la planilla a 060007</t>
        </is>
      </c>
    </row>
    <row r="3">
      <c r="A3" s="3" t="n">
        <v>2</v>
      </c>
      <c r="B3" s="10" t="inlineStr">
        <is>
          <t>Código 70036 duplicado</t>
        </is>
      </c>
      <c r="C3" s="3" t="inlineStr">
        <is>
          <t>Asignado al SOBRE CHICO DE PAPAS TASTY y también al PAPEL PARAFINADO MILA&amp;GO</t>
        </is>
      </c>
      <c r="D3" s="3" t="inlineStr">
        <is>
          <t>Un código por producto; corregir uno de los dos</t>
        </is>
      </c>
    </row>
    <row r="4">
      <c r="A4" s="3" t="n">
        <v>3</v>
      </c>
      <c r="B4" s="10" t="inlineStr">
        <is>
          <t>Servilletas: 70010 vs 70015</t>
        </is>
      </c>
      <c r="C4" s="3" t="inlineStr">
        <is>
          <t>La planilla asigna las 3 servilletas (Desembarco/Tasty/M&amp;G) a 70015, pero el consumo histórico del maestro usa 070010 'Servilletas c/ Logo'</t>
        </is>
      </c>
      <c r="D4" s="3" t="inlineStr">
        <is>
          <t>Definir cuál es el vigente y unificar recetas + costos</t>
        </is>
      </c>
    </row>
    <row r="5">
      <c r="A5" s="3" t="n">
        <v>4</v>
      </c>
      <c r="B5" s="10" t="inlineStr">
        <is>
          <t>Sal en sobres: 10011 vs 010031</t>
        </is>
      </c>
      <c r="C5" s="3" t="inlineStr">
        <is>
          <t>La planilla dice 10011; el panel de costos muestra 'SOBRES DE SAL FINA' en 010031</t>
        </is>
      </c>
      <c r="D5" s="3" t="inlineStr">
        <is>
          <t>Confirmar el código correcto antes de cargar</t>
        </is>
      </c>
    </row>
    <row r="6">
      <c r="A6" s="3" t="n">
        <v>5</v>
      </c>
      <c r="B6" s="10" t="inlineStr">
        <is>
          <t>Ketchup sachet 'sin codigo'</t>
        </is>
      </c>
      <c r="C6" s="3" t="inlineStr">
        <is>
          <t>El artículo existe: 010029 Sachetcito Ketchup (panel: $65,89)</t>
        </is>
      </c>
      <c r="D6" s="3" t="inlineStr">
        <is>
          <t>Asignar 010029 en la planilla</t>
        </is>
      </c>
    </row>
    <row r="7">
      <c r="A7" s="3" t="n">
        <v>6</v>
      </c>
      <c r="B7" s="10" t="inlineStr">
        <is>
          <t>AZUCAR BLANCA con costo $0</t>
        </is>
      </c>
      <c r="C7" s="3" t="inlineStr">
        <is>
          <t>013013 figura en el panel con importe 0,00</t>
        </is>
      </c>
      <c r="D7" s="3" t="inlineStr">
        <is>
          <t>Cargar costo (insumo de recetas del CDP)</t>
        </is>
      </c>
    </row>
    <row r="8">
      <c r="A8" s="3" t="n">
        <v>7</v>
      </c>
      <c r="B8" s="10" t="inlineStr">
        <is>
          <t>~29 renglones sin código</t>
        </is>
      </c>
      <c r="C8" s="3" t="inlineStr">
        <is>
          <t>Ver hoja 'SIN CODIGO EN MAESTRO'</t>
        </is>
      </c>
      <c r="D8" s="3" t="inlineStr">
        <is>
          <t>Asignar/crear artículos; sin eso ese consumo no se puede valorizar (hoy 27% del consumo queda sin $)</t>
        </is>
      </c>
    </row>
    <row r="9">
      <c r="A9" s="3" t="n">
        <v>8</v>
      </c>
      <c r="B9" s="10" t="inlineStr">
        <is>
          <t>MAESTRO_TASTY sin actualizar</t>
        </is>
      </c>
      <c r="C9" s="3" t="inlineStr">
        <is>
          <t>Las cargas del 09/07 fueron solo en MAESTRO (Desembarco). En MAESTRO_TASTY siguen: ketchup $3.140, mayonesa $3.157,50, cheddar líquido $6.266,70 (valores viejos)</t>
        </is>
      </c>
      <c r="D9" s="3" t="inlineStr">
        <is>
          <t>Repetir las cargas en la empresa MAESTRO TASTY (mismo panel); los locales Tasty valorizan con ese maestro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2026-07-10T11:16:48Z</dcterms:created>
  <dcterms:modified xsi:type="dcterms:W3CDTF">2026-07-10T11:16:48Z</dcterms:modified>
</cp:coreProperties>
</file>